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66925"/>
  <xr:revisionPtr revIDLastSave="0" documentId="8_{DD044CCD-A8A7-431E-A476-EEEA2086BE3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in" sheetId="1" r:id="rId1"/>
    <sheet name="Pivot_Monthly" sheetId="2" r:id="rId2"/>
    <sheet name="Pivot_Category" sheetId="3" r:id="rId3"/>
    <sheet name="Pivot_Segment" sheetId="4" r:id="rId4"/>
    <sheet name="Pivot_MonthxCategory" sheetId="5" r:id="rId5"/>
    <sheet name="Dashboard" sheetId="6" r:id="rId6"/>
    <sheet name="Insights" sheetId="7" r:id="rId7"/>
  </sheets>
  <calcPr calcId="191028"/>
  <pivotCaches>
    <pivotCache cacheId="597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4" i="6"/>
  <c r="B3" i="6"/>
  <c r="B2" i="6"/>
  <c r="B1" i="6"/>
  <c r="B16" i="1"/>
  <c r="B14" i="1"/>
  <c r="B13" i="1"/>
  <c r="I2" i="1"/>
  <c r="I3" i="1"/>
  <c r="I4" i="1"/>
  <c r="I5" i="1"/>
  <c r="I6" i="1"/>
  <c r="I7" i="1"/>
  <c r="I8" i="1"/>
  <c r="I9" i="1"/>
  <c r="I10" i="1"/>
  <c r="I11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<sst xmlns="http://schemas.openxmlformats.org/spreadsheetml/2006/main" count="129" uniqueCount="38">
  <si>
    <t>Order Date</t>
  </si>
  <si>
    <t>Order Month</t>
  </si>
  <si>
    <t>Customer ID</t>
  </si>
  <si>
    <t>Segment</t>
  </si>
  <si>
    <t>Region</t>
  </si>
  <si>
    <t>Product Category</t>
  </si>
  <si>
    <t>Sales</t>
  </si>
  <si>
    <t>Profit</t>
  </si>
  <si>
    <t>Profit Margin</t>
  </si>
  <si>
    <t>C001</t>
  </si>
  <si>
    <t>Consumer</t>
  </si>
  <si>
    <t>East</t>
  </si>
  <si>
    <t>Furniture</t>
  </si>
  <si>
    <t>C002</t>
  </si>
  <si>
    <t>Corporate</t>
  </si>
  <si>
    <t>West</t>
  </si>
  <si>
    <t>Technology</t>
  </si>
  <si>
    <t>C003</t>
  </si>
  <si>
    <t>Small Business</t>
  </si>
  <si>
    <t>South</t>
  </si>
  <si>
    <t>Office Supplies</t>
  </si>
  <si>
    <t>C004</t>
  </si>
  <si>
    <t>North</t>
  </si>
  <si>
    <t>C005</t>
  </si>
  <si>
    <t>C006</t>
  </si>
  <si>
    <t>Total Sales</t>
  </si>
  <si>
    <t>Total Profit</t>
  </si>
  <si>
    <t>Overall Profit Margin</t>
  </si>
  <si>
    <t>Average Profit Per Order</t>
  </si>
  <si>
    <t>Sum of Sales</t>
  </si>
  <si>
    <t>Sum of Profit</t>
  </si>
  <si>
    <t>Average of Profit Margin</t>
  </si>
  <si>
    <t>2024-01</t>
  </si>
  <si>
    <t>2024-02</t>
  </si>
  <si>
    <t>2024-03</t>
  </si>
  <si>
    <t>Grand Total</t>
  </si>
  <si>
    <t>Sales Analysis</t>
  </si>
  <si>
    <t>March show the highest sales ($2750) and profit margins (15.21%), this was driven by Technology products and Corporate customers, which contibuted to $970 and $720 in profit respectively. This indicates healthy growth with a stable profit margin, and that the business can expand revenue without increasing cost, and scale efficiently.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</si>
</sst>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pivotButton="1"/>
    <xf numFmtId="0" fontId="1" fillId="0" borderId="1" xfId="0" applyFont="1" applyBorder="1" applyAlignment="1">
      <alignment horizontal="center" readingOrder="1"/>
    </xf>
    <xf numFmtId="0" fontId="1" fillId="0" borderId="2" xfId="0" applyFont="1" applyBorder="1" applyAlignment="1">
      <alignment horizontal="center" readingOrder="1"/>
    </xf>
    <xf numFmtId="0" fontId="0" fillId="0" borderId="0" xfId="0" applyAlignment="1">
      <alignment horizontal="center"/>
    </xf>
    <xf numFmtId="14" fontId="2" fillId="0" borderId="3" xfId="0" applyNumberFormat="1" applyFont="1" applyBorder="1" applyAlignment="1">
      <alignment horizontal="center" readingOrder="1"/>
    </xf>
    <xf numFmtId="14" fontId="2" fillId="0" borderId="7" xfId="0" applyNumberFormat="1" applyFont="1" applyBorder="1" applyAlignment="1">
      <alignment horizontal="center" readingOrder="1"/>
    </xf>
    <xf numFmtId="0" fontId="2" fillId="0" borderId="4" xfId="0" applyFont="1" applyBorder="1" applyAlignment="1">
      <alignment horizontal="center" readingOrder="1"/>
    </xf>
    <xf numFmtId="10" fontId="0" fillId="0" borderId="0" xfId="0" applyNumberFormat="1" applyAlignment="1">
      <alignment horizontal="center"/>
    </xf>
    <xf numFmtId="14" fontId="2" fillId="0" borderId="5" xfId="0" applyNumberFormat="1" applyFont="1" applyBorder="1" applyAlignment="1">
      <alignment horizontal="center" readingOrder="1"/>
    </xf>
    <xf numFmtId="0" fontId="2" fillId="0" borderId="6" xfId="0" applyFont="1" applyBorder="1" applyAlignment="1">
      <alignment horizontal="center" readingOrder="1"/>
    </xf>
    <xf numFmtId="10" fontId="0" fillId="0" borderId="8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1" fillId="0" borderId="10" xfId="0" applyNumberFormat="1" applyFont="1" applyBorder="1" applyAlignment="1">
      <alignment horizontal="center" readingOrder="1"/>
    </xf>
    <xf numFmtId="0" fontId="1" fillId="0" borderId="13" xfId="0" applyFont="1" applyBorder="1" applyAlignment="1">
      <alignment horizontal="center" readingOrder="1"/>
    </xf>
    <xf numFmtId="14" fontId="2" fillId="0" borderId="15" xfId="0" applyNumberFormat="1" applyFont="1" applyBorder="1" applyAlignment="1">
      <alignment horizontal="center" readingOrder="1"/>
    </xf>
    <xf numFmtId="10" fontId="0" fillId="0" borderId="0" xfId="0" applyNumberFormat="1"/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4" fontId="2" fillId="0" borderId="11" xfId="0" applyNumberFormat="1" applyFont="1" applyBorder="1" applyAlignment="1">
      <alignment horizontal="center" readingOrder="1"/>
    </xf>
    <xf numFmtId="164" fontId="2" fillId="0" borderId="0" xfId="0" applyNumberFormat="1" applyFont="1" applyBorder="1" applyAlignment="1">
      <alignment horizontal="center" readingOrder="1"/>
    </xf>
    <xf numFmtId="164" fontId="2" fillId="0" borderId="12" xfId="0" applyNumberFormat="1" applyFont="1" applyBorder="1" applyAlignment="1">
      <alignment horizontal="center" readingOrder="1"/>
    </xf>
    <xf numFmtId="164" fontId="2" fillId="0" borderId="14" xfId="0" applyNumberFormat="1" applyFont="1" applyBorder="1" applyAlignment="1">
      <alignment horizontal="center" readingOrder="1"/>
    </xf>
    <xf numFmtId="164" fontId="0" fillId="0" borderId="0" xfId="0" applyNumberFormat="1"/>
    <xf numFmtId="0" fontId="3" fillId="0" borderId="0" xfId="0" applyFont="1"/>
    <xf numFmtId="0" fontId="3" fillId="2" borderId="16" xfId="0" applyFon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16" xfId="0" pivotButton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64">
    <dxf>
      <numFmt numFmtId="164" formatCode="&quot;$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$&quot;#,##0.0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$&quot;#,##0.0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[Retail_sales.xlsx]Dashboard!PivotTable4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&amp;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Dashboard!$A$8:$A$11</c:f>
              <c:strCache>
                <c:ptCount val="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</c:strCache>
            </c:strRef>
          </c:cat>
          <c:val>
            <c:numRef>
              <c:f>Dashboard!$B$8:$B$11</c:f>
              <c:numCache>
                <c:formatCode>"$"#,##0.00</c:formatCode>
                <c:ptCount val="3"/>
                <c:pt idx="0">
                  <c:v>1900</c:v>
                </c:pt>
                <c:pt idx="1">
                  <c:v>1650</c:v>
                </c:pt>
                <c:pt idx="2">
                  <c:v>2750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B2-4434-A546-B735A6894065}"/>
            </c:ext>
          </c:extLst>
        </c:ser>
        <c:ser>
          <c:idx val="1"/>
          <c:order val="1"/>
          <c:tx>
            <c:strRef>
              <c:f>Dashboard!$C$7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Dashboard!$A$8:$A$11</c:f>
              <c:strCache>
                <c:ptCount val="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</c:strCache>
            </c:strRef>
          </c:cat>
          <c:val>
            <c:numRef>
              <c:f>Dashboard!$C$8:$C$11</c:f>
              <c:numCache>
                <c:formatCode>"$"#,##0.00</c:formatCode>
                <c:ptCount val="3"/>
                <c:pt idx="0">
                  <c:v>370</c:v>
                </c:pt>
                <c:pt idx="1">
                  <c:v>280</c:v>
                </c:pt>
                <c:pt idx="2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B2-4434-A546-B735A6894065}"/>
            </c:ext>
          </c:extLst>
        </c:ser>
        <c:ser>
          <c:idx val="2"/>
          <c:order val="2"/>
          <c:tx>
            <c:strRef>
              <c:f>Dashboard!$D$7</c:f>
              <c:strCache>
                <c:ptCount val="1"/>
                <c:pt idx="0">
                  <c:v>Average of Profit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Dashboard!$A$8:$A$11</c:f>
              <c:strCache>
                <c:ptCount val="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</c:strCache>
            </c:strRef>
          </c:cat>
          <c:val>
            <c:numRef>
              <c:f>Dashboard!$D$8:$D$11</c:f>
              <c:numCache>
                <c:formatCode>0.00%</c:formatCode>
                <c:ptCount val="3"/>
                <c:pt idx="0">
                  <c:v>0.15</c:v>
                </c:pt>
                <c:pt idx="1">
                  <c:v>0.13888888888888887</c:v>
                </c:pt>
                <c:pt idx="2">
                  <c:v>0.15208333333333332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B2-4434-A546-B735A6894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708615"/>
        <c:axId val="1136693767"/>
      </c:lineChart>
      <c:catAx>
        <c:axId val="1136708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693767"/>
        <c:crosses val="autoZero"/>
        <c:auto val="1"/>
        <c:lblAlgn val="ctr"/>
        <c:lblOffset val="100"/>
        <c:noMultiLvlLbl val="0"/>
      </c:catAx>
      <c:valAx>
        <c:axId val="1136693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708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[Retail_sales.xlsx]Dashboard!PivotTable12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Dashboard!$A$28:$A$31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Dashboard!$B$28:$B$31</c:f>
              <c:numCache>
                <c:formatCode>"$"#,##0.00</c:formatCode>
                <c:ptCount val="3"/>
                <c:pt idx="0">
                  <c:v>1600</c:v>
                </c:pt>
                <c:pt idx="1">
                  <c:v>600</c:v>
                </c:pt>
                <c:pt idx="2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3-405D-B024-87F65BEAA2CF}"/>
            </c:ext>
          </c:extLst>
        </c:ser>
        <c:ser>
          <c:idx val="1"/>
          <c:order val="1"/>
          <c:tx>
            <c:strRef>
              <c:f>Dashboard!$C$27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Dashboard!$A$28:$A$31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Dashboard!$C$28:$C$31</c:f>
              <c:numCache>
                <c:formatCode>"$"#,##0.00</c:formatCode>
                <c:ptCount val="3"/>
                <c:pt idx="0">
                  <c:v>150</c:v>
                </c:pt>
                <c:pt idx="1">
                  <c:v>55</c:v>
                </c:pt>
                <c:pt idx="2">
                  <c:v>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E3-405D-B024-87F65BEAA2CF}"/>
            </c:ext>
          </c:extLst>
        </c:ser>
        <c:ser>
          <c:idx val="2"/>
          <c:order val="2"/>
          <c:tx>
            <c:strRef>
              <c:f>Dashboard!$D$27</c:f>
              <c:strCache>
                <c:ptCount val="1"/>
                <c:pt idx="0">
                  <c:v>Average of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Dashboard!$A$28:$A$31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Dashboard!$D$28:$D$31</c:f>
              <c:numCache>
                <c:formatCode>0.00%</c:formatCode>
                <c:ptCount val="3"/>
                <c:pt idx="0">
                  <c:v>9.1666666666666674E-2</c:v>
                </c:pt>
                <c:pt idx="1">
                  <c:v>8.8888888888888906E-2</c:v>
                </c:pt>
                <c:pt idx="2">
                  <c:v>0.23333333333333334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E3-405D-B024-87F65BEAA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981127"/>
        <c:axId val="1598983175"/>
      </c:barChart>
      <c:catAx>
        <c:axId val="1598981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983175"/>
        <c:crosses val="autoZero"/>
        <c:auto val="1"/>
        <c:lblAlgn val="ctr"/>
        <c:lblOffset val="100"/>
        <c:noMultiLvlLbl val="0"/>
      </c:catAx>
      <c:valAx>
        <c:axId val="1598983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98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[Retail_sales.xlsx]Dashboard!PivotTable13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Dashboard!$B$47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9D-456E-8F02-44DCE6EA90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9D-456E-8F02-44DCE6EA90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9D-456E-8F02-44DCE6EA908E}"/>
              </c:ext>
            </c:extLst>
          </c:dPt>
          <c:cat>
            <c:strRef>
              <c:f>Dashboard!$A$48:$A$51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Dashboard!$B$48:$B$51</c:f>
              <c:numCache>
                <c:formatCode>"$"#,##0.00</c:formatCode>
                <c:ptCount val="3"/>
                <c:pt idx="0">
                  <c:v>1700</c:v>
                </c:pt>
                <c:pt idx="1">
                  <c:v>3400</c:v>
                </c:pt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F-4B51-B7DF-1DF097E0788D}"/>
            </c:ext>
          </c:extLst>
        </c:ser>
        <c:ser>
          <c:idx val="1"/>
          <c:order val="1"/>
          <c:tx>
            <c:strRef>
              <c:f>Dashboard!$C$47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9D-456E-8F02-44DCE6EA90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9D-456E-8F02-44DCE6EA90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9D-456E-8F02-44DCE6EA908E}"/>
              </c:ext>
            </c:extLst>
          </c:dPt>
          <c:cat>
            <c:strRef>
              <c:f>Dashboard!$A$48:$A$51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Dashboard!$C$48:$C$51</c:f>
              <c:numCache>
                <c:formatCode>"$"#,##0.00</c:formatCode>
                <c:ptCount val="3"/>
                <c:pt idx="0">
                  <c:v>285</c:v>
                </c:pt>
                <c:pt idx="1">
                  <c:v>720</c:v>
                </c:pt>
                <c:pt idx="2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0F-4B51-B7DF-1DF097E0788D}"/>
            </c:ext>
          </c:extLst>
        </c:ser>
        <c:ser>
          <c:idx val="2"/>
          <c:order val="2"/>
          <c:tx>
            <c:strRef>
              <c:f>Dashboard!$D$47</c:f>
              <c:strCache>
                <c:ptCount val="1"/>
                <c:pt idx="0">
                  <c:v>Average of Profit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79D-456E-8F02-44DCE6EA90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79D-456E-8F02-44DCE6EA90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79D-456E-8F02-44DCE6EA908E}"/>
              </c:ext>
            </c:extLst>
          </c:dPt>
          <c:cat>
            <c:strRef>
              <c:f>Dashboard!$A$48:$A$51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Dashboard!$D$48:$D$51</c:f>
              <c:numCache>
                <c:formatCode>0.00%</c:formatCode>
                <c:ptCount val="3"/>
                <c:pt idx="0">
                  <c:v>0.12916666666666665</c:v>
                </c:pt>
                <c:pt idx="1">
                  <c:v>0.19444444444444442</c:v>
                </c:pt>
                <c:pt idx="2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0F-4B51-B7DF-1DF097E07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[Retail_sales.xlsx]Dashboard!PivotTable14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Dashboard!$B$69:$B$70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Dashboard!$A$71:$A$74</c:f>
              <c:strCache>
                <c:ptCount val="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</c:strCache>
            </c:strRef>
          </c:cat>
          <c:val>
            <c:numRef>
              <c:f>Dashboard!$B$71:$B$74</c:f>
              <c:numCache>
                <c:formatCode>"$"#,##0.00</c:formatCode>
                <c:ptCount val="3"/>
                <c:pt idx="0">
                  <c:v>500</c:v>
                </c:pt>
                <c:pt idx="1">
                  <c:v>700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4-4066-A630-CE6DEE991F28}"/>
            </c:ext>
          </c:extLst>
        </c:ser>
        <c:ser>
          <c:idx val="1"/>
          <c:order val="1"/>
          <c:tx>
            <c:strRef>
              <c:f>Dashboard!$C$69:$C$70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Dashboard!$A$71:$A$74</c:f>
              <c:strCache>
                <c:ptCount val="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</c:strCache>
            </c:strRef>
          </c:cat>
          <c:val>
            <c:numRef>
              <c:f>Dashboard!$C$71:$C$74</c:f>
              <c:numCache>
                <c:formatCode>"$"#,##0.00</c:formatCode>
                <c:ptCount val="3"/>
                <c:pt idx="0">
                  <c:v>200</c:v>
                </c:pt>
                <c:pt idx="1">
                  <c:v>150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04-4066-A630-CE6DEE991F28}"/>
            </c:ext>
          </c:extLst>
        </c:ser>
        <c:ser>
          <c:idx val="2"/>
          <c:order val="2"/>
          <c:tx>
            <c:strRef>
              <c:f>Dashboard!$D$69:$D$70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Dashboard!$A$71:$A$74</c:f>
              <c:strCache>
                <c:ptCount val="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</c:strCache>
            </c:strRef>
          </c:cat>
          <c:val>
            <c:numRef>
              <c:f>Dashboard!$D$71:$D$74</c:f>
              <c:numCache>
                <c:formatCode>"$"#,##0.00</c:formatCode>
                <c:ptCount val="3"/>
                <c:pt idx="0">
                  <c:v>1200</c:v>
                </c:pt>
                <c:pt idx="1">
                  <c:v>800</c:v>
                </c:pt>
                <c:pt idx="2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04-4066-A630-CE6DEE991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8998023"/>
        <c:axId val="1599000071"/>
      </c:barChart>
      <c:catAx>
        <c:axId val="1598998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000071"/>
        <c:crosses val="autoZero"/>
        <c:auto val="1"/>
        <c:lblAlgn val="ctr"/>
        <c:lblOffset val="100"/>
        <c:noMultiLvlLbl val="0"/>
      </c:catAx>
      <c:valAx>
        <c:axId val="1599000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998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752475</xdr:colOff>
      <xdr:row>0</xdr:row>
      <xdr:rowOff>0</xdr:rowOff>
    </xdr:from>
    <xdr:to>
      <xdr:col>11</xdr:col>
      <xdr:colOff>104775</xdr:colOff>
      <xdr:row>14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3B6DC3-62C2-4640-E8C8-422713FB2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180975</xdr:rowOff>
    </xdr:from>
    <xdr:to>
      <xdr:col>11</xdr:col>
      <xdr:colOff>114300</xdr:colOff>
      <xdr:row>36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F3338A8-1681-78FD-764B-94CE65960226}"/>
            </a:ext>
            <a:ext uri="{147F2762-F138-4A5C-976F-8EAC2B608ADB}">
              <a16:predDERef xmlns:a16="http://schemas.microsoft.com/office/drawing/2014/main" pred="{003B6DC3-62C2-4640-E8C8-422713FB2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42</xdr:row>
      <xdr:rowOff>0</xdr:rowOff>
    </xdr:from>
    <xdr:to>
      <xdr:col>11</xdr:col>
      <xdr:colOff>114300</xdr:colOff>
      <xdr:row>56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BB4D4B0-DCB9-AC98-C179-1555DA66ECCA}"/>
            </a:ext>
            <a:ext uri="{147F2762-F138-4A5C-976F-8EAC2B608ADB}">
              <a16:predDERef xmlns:a16="http://schemas.microsoft.com/office/drawing/2014/main" pred="{CF3338A8-1681-78FD-764B-94CE65960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65</xdr:row>
      <xdr:rowOff>0</xdr:rowOff>
    </xdr:from>
    <xdr:to>
      <xdr:col>11</xdr:col>
      <xdr:colOff>723900</xdr:colOff>
      <xdr:row>79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3817C05-E51B-DBED-D2CC-E9BA49F94DB5}"/>
            </a:ext>
            <a:ext uri="{147F2762-F138-4A5C-976F-8EAC2B608ADB}">
              <a16:predDERef xmlns:a16="http://schemas.microsoft.com/office/drawing/2014/main" pred="{7BB4D4B0-DCB9-AC98-C179-1555DA66E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107051041668" createdVersion="8" refreshedVersion="8" minRefreshableVersion="3" recordCount="10" xr:uid="{E18EB162-ED76-4C79-8D88-81ECBD2FEEC9}">
  <cacheSource type="worksheet">
    <worksheetSource ref="A1:I11" sheet="Main"/>
  </cacheSource>
  <cacheFields count="9">
    <cacheField name="Order Date" numFmtId="14">
      <sharedItems containsSemiMixedTypes="0" containsNonDate="0" containsDate="1" containsString="0" minDate="2024-01-05T00:00:00" maxDate="2024-03-26T00:00:00" count="10">
        <d v="2024-01-05T00:00:00"/>
        <d v="2024-01-18T00:00:00"/>
        <d v="2024-01-25T00:00:00"/>
        <d v="2024-02-03T00:00:00"/>
        <d v="2024-02-14T00:00:00"/>
        <d v="2024-02-20T00:00:00"/>
        <d v="2024-03-02T00:00:00"/>
        <d v="2024-03-10T00:00:00"/>
        <d v="2024-03-18T00:00:00"/>
        <d v="2024-03-25T00:00:00"/>
      </sharedItems>
    </cacheField>
    <cacheField name="Order Month" numFmtId="14">
      <sharedItems count="3">
        <s v="2024-01"/>
        <s v="2024-02"/>
        <s v="2024-03"/>
      </sharedItems>
    </cacheField>
    <cacheField name="Customer ID" numFmtId="0">
      <sharedItems count="6">
        <s v="C001"/>
        <s v="C002"/>
        <s v="C003"/>
        <s v="C004"/>
        <s v="C005"/>
        <s v="C006"/>
      </sharedItems>
    </cacheField>
    <cacheField name="Segment" numFmtId="0">
      <sharedItems count="3">
        <s v="Consumer"/>
        <s v="Corporate"/>
        <s v="Small Business"/>
      </sharedItems>
    </cacheField>
    <cacheField name="Region" numFmtId="0">
      <sharedItems/>
    </cacheField>
    <cacheField name="Product Category" numFmtId="0">
      <sharedItems count="3">
        <s v="Furniture"/>
        <s v="Technology"/>
        <s v="Office Supplies"/>
      </sharedItems>
    </cacheField>
    <cacheField name="Sales" numFmtId="0">
      <sharedItems containsSemiMixedTypes="0" containsString="0" containsNumber="1" containsInteger="1" minValue="150" maxValue="1500"/>
    </cacheField>
    <cacheField name="Profit" numFmtId="0">
      <sharedItems containsSemiMixedTypes="0" containsString="0" containsNumber="1" containsInteger="1" minValue="10" maxValue="350"/>
    </cacheField>
    <cacheField name="Profit Margin" numFmtId="10">
      <sharedItems containsSemiMixedTypes="0" containsString="0" containsNumber="1" minValue="6.6666666666666666E-2" maxValue="0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s v="East"/>
    <x v="0"/>
    <n v="500"/>
    <n v="50"/>
    <n v="0.1"/>
  </r>
  <r>
    <x v="1"/>
    <x v="0"/>
    <x v="1"/>
    <x v="1"/>
    <s v="West"/>
    <x v="1"/>
    <n v="1200"/>
    <n v="300"/>
    <n v="0.25"/>
  </r>
  <r>
    <x v="2"/>
    <x v="0"/>
    <x v="2"/>
    <x v="2"/>
    <s v="South"/>
    <x v="2"/>
    <n v="200"/>
    <n v="20"/>
    <n v="0.1"/>
  </r>
  <r>
    <x v="3"/>
    <x v="1"/>
    <x v="0"/>
    <x v="0"/>
    <s v="East"/>
    <x v="1"/>
    <n v="800"/>
    <n v="200"/>
    <n v="0.25"/>
  </r>
  <r>
    <x v="4"/>
    <x v="1"/>
    <x v="3"/>
    <x v="1"/>
    <s v="North"/>
    <x v="0"/>
    <n v="700"/>
    <n v="70"/>
    <n v="0.1"/>
  </r>
  <r>
    <x v="5"/>
    <x v="1"/>
    <x v="4"/>
    <x v="0"/>
    <s v="West"/>
    <x v="2"/>
    <n v="150"/>
    <n v="10"/>
    <n v="6.6666666666666666E-2"/>
  </r>
  <r>
    <x v="6"/>
    <x v="2"/>
    <x v="1"/>
    <x v="1"/>
    <s v="West"/>
    <x v="1"/>
    <n v="1500"/>
    <n v="350"/>
    <n v="0.23333333333333334"/>
  </r>
  <r>
    <x v="7"/>
    <x v="2"/>
    <x v="5"/>
    <x v="2"/>
    <s v="East"/>
    <x v="0"/>
    <n v="400"/>
    <n v="30"/>
    <n v="7.4999999999999997E-2"/>
  </r>
  <r>
    <x v="8"/>
    <x v="2"/>
    <x v="2"/>
    <x v="2"/>
    <s v="South"/>
    <x v="1"/>
    <n v="600"/>
    <n v="120"/>
    <n v="0.2"/>
  </r>
  <r>
    <x v="9"/>
    <x v="2"/>
    <x v="0"/>
    <x v="0"/>
    <s v="East"/>
    <x v="2"/>
    <n v="250"/>
    <n v="25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B8638-E88E-4F13-B00A-B0DFA1DD5C5F}" name="PivotTable2" cacheId="59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7" firstHeaderRow="0" firstDataRow="1" firstDataCol="1"/>
  <pivotFields count="9">
    <pivotField compact="0" numFmtId="14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numFmtId="1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 numFmtId="164"/>
    <dataField name="Sum of Profit" fld="7" baseField="0" baseItem="0" numFmtId="164"/>
    <dataField name="Average of Profit Margin" fld="8" subtotal="average" baseField="0" baseItem="0" numFmtId="10"/>
  </dataFields>
  <formats count="1">
    <format dxfId="63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AE53E-0B0F-4714-8AE8-F6F90D83BFE9}" name="PivotTable1" cacheId="59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7" firstHeaderRow="0" firstDataRow="1" firstDataCol="1"/>
  <pivotFields count="9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dataField="1" compact="0" outline="0" showAll="0"/>
    <pivotField dataField="1" compact="0" outline="0" showAll="0"/>
    <pivotField dataField="1" compact="0" numFmtId="1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 numFmtId="164"/>
    <dataField name="Sum of Profit" fld="7" baseField="0" baseItem="0" numFmtId="164"/>
    <dataField name="Average of Profit Margin" fld="8" subtotal="average" baseField="0" baseItem="0" numFmtId="10"/>
  </dataFields>
  <formats count="1">
    <format dxfId="62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43570-03F5-446F-9F63-93984BD5E82D}" name="PivotTable2" cacheId="59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7" firstHeaderRow="0" firstDataRow="1" firstDataCol="1"/>
  <pivotFields count="9">
    <pivotField compact="0" numFmtId="14" outline="0" showAll="0"/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numFmtId="1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 numFmtId="164"/>
    <dataField name="Sum of Profit" fld="7" baseField="0" baseItem="0" numFmtId="164"/>
    <dataField name="Average of Profit Margin" fld="8" subtotal="average" baseField="0" baseItem="0" numFmtId="10"/>
  </dataFields>
  <formats count="1">
    <format dxfId="61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C22C6-9A37-4808-B6C6-8931764CCA8A}" name="PivotTable3" cacheId="59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8" firstHeaderRow="1" firstDataRow="2" firstDataCol="1"/>
  <pivotFields count="9">
    <pivotField compact="0" numFmtId="14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  <pivotField compact="0" outline="0" showAll="0"/>
    <pivotField compact="0" numFmtId="1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Sales" fld="6" baseField="0" baseItem="0"/>
  </dataFields>
  <formats count="4">
    <format dxfId="57">
      <pivotArea outline="0" fieldPosition="0">
        <references count="1">
          <reference field="5" count="1" selected="0">
            <x v="0"/>
          </reference>
        </references>
      </pivotArea>
    </format>
    <format dxfId="58">
      <pivotArea outline="0" fieldPosition="0">
        <references count="1">
          <reference field="5" count="1" selected="0">
            <x v="1"/>
          </reference>
        </references>
      </pivotArea>
    </format>
    <format dxfId="59">
      <pivotArea outline="0" fieldPosition="0">
        <references count="1">
          <reference field="5" count="1" selected="0">
            <x v="2"/>
          </reference>
        </references>
      </pivotArea>
    </format>
    <format dxfId="60">
      <pivotArea grandCol="1"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428E7-3716-4BBD-95D5-659E6C13321F}" name="PivotTable14" cacheId="59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69:E74" firstHeaderRow="1" firstDataRow="2" firstDataCol="1"/>
  <pivotFields count="9">
    <pivotField compact="0" numFmtId="14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  <pivotField compact="0" outline="0" showAll="0"/>
    <pivotField compact="0" numFmtId="1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Sales" fld="6" baseField="0" baseItem="0"/>
  </dataFields>
  <formats count="17">
    <format dxfId="40">
      <pivotArea outline="0" fieldPosition="0">
        <references count="1">
          <reference field="5" count="1" selected="0">
            <x v="0"/>
          </reference>
        </references>
      </pivotArea>
    </format>
    <format dxfId="41">
      <pivotArea outline="0" fieldPosition="0">
        <references count="1">
          <reference field="5" count="1" selected="0">
            <x v="1"/>
          </reference>
        </references>
      </pivotArea>
    </format>
    <format dxfId="42">
      <pivotArea outline="0" fieldPosition="0">
        <references count="1">
          <reference field="5" count="1" selected="0">
            <x v="2"/>
          </reference>
        </references>
      </pivotArea>
    </format>
    <format dxfId="43">
      <pivotArea grandCol="1" outline="0" collapsedLevelsAreSubtotals="1" fieldPosition="0"/>
    </format>
    <format dxfId="44">
      <pivotArea outline="0" collapsedLevelsAreSubtotals="1" fieldPosition="0"/>
    </format>
    <format dxfId="45">
      <pivotArea dataOnly="0" labelOnly="1" outline="0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7">
      <pivotArea type="all" dataOnly="0" outline="0" fieldPosition="0"/>
    </format>
    <format dxfId="48">
      <pivotArea outline="0" collapsedLevelsAreSubtotals="1" fieldPosition="0"/>
    </format>
    <format dxfId="49">
      <pivotArea type="origin" dataOnly="0" labelOnly="1" outline="0" fieldPosition="0"/>
    </format>
    <format dxfId="50">
      <pivotArea field="5" type="button" dataOnly="0" labelOnly="1" outline="0" axis="axisCol" fieldPosition="0"/>
    </format>
    <format dxfId="51">
      <pivotArea type="topRight" dataOnly="0" labelOnly="1" outline="0" fieldPosition="0"/>
    </format>
    <format dxfId="52">
      <pivotArea field="1" type="button" dataOnly="0" labelOnly="1" outline="0" axis="axisRow" fieldPosition="0"/>
    </format>
    <format dxfId="53">
      <pivotArea dataOnly="0" labelOnly="1" outline="0" fieldPosition="0">
        <references count="1">
          <reference field="1" count="0"/>
        </references>
      </pivotArea>
    </format>
    <format dxfId="54">
      <pivotArea dataOnly="0" labelOnly="1" grandRow="1" outline="0" fieldPosition="0"/>
    </format>
    <format dxfId="55">
      <pivotArea dataOnly="0" labelOnly="1" outline="0" fieldPosition="0">
        <references count="1">
          <reference field="5" count="0"/>
        </references>
      </pivotArea>
    </format>
    <format dxfId="56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DB125-6CD5-4285-86F0-4F85E9D8DB7D}" name="PivotTable13" cacheId="59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7:D51" firstHeaderRow="0" firstDataRow="1" firstDataCol="1"/>
  <pivotFields count="9">
    <pivotField compact="0" numFmtId="14" outline="0" showAll="0"/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numFmtId="1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 numFmtId="164"/>
    <dataField name="Sum of Profit" fld="7" baseField="0" baseItem="0" numFmtId="164"/>
    <dataField name="Average of Profit Margin" fld="8" subtotal="average" baseField="0" baseItem="0" numFmtId="10"/>
  </dataFields>
  <formats count="11">
    <format dxfId="29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30">
      <pivotArea outline="0" fieldPosition="0">
        <references count="1">
          <reference field="3" count="0" selected="0"/>
        </references>
      </pivotArea>
    </format>
    <format dxfId="31">
      <pivotArea dataOnly="0" labelOnly="1" outline="0" fieldPosition="0">
        <references count="1">
          <reference field="3" count="0"/>
        </references>
      </pivotArea>
    </format>
    <format dxfId="32">
      <pivotArea grandRow="1" outline="0" collapsedLevelsAreSubtotals="1" fieldPosition="0"/>
    </format>
    <format dxfId="33">
      <pivotArea dataOnly="0" labelOnly="1" grandRow="1" outline="0" fieldPosition="0"/>
    </format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3" type="button" dataOnly="0" labelOnly="1" outline="0" axis="axisRow" fieldPosition="0"/>
    </format>
    <format dxfId="37">
      <pivotArea dataOnly="0" labelOnly="1" outline="0" fieldPosition="0">
        <references count="1">
          <reference field="3" count="0"/>
        </references>
      </pivotArea>
    </format>
    <format dxfId="38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971E6-880F-4055-832F-8667BEF27D59}" name="PivotTable12" cacheId="59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7:D31" firstHeaderRow="0" firstDataRow="1" firstDataCol="1"/>
  <pivotFields count="9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dataField="1" compact="0" outline="0" showAll="0"/>
    <pivotField dataField="1" compact="0" outline="0" showAll="0"/>
    <pivotField dataField="1" compact="0" numFmtId="1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 numFmtId="164"/>
    <dataField name="Sum of Profit" fld="7" baseField="0" baseItem="0" numFmtId="164"/>
    <dataField name="Average of Profit Margin" fld="8" subtotal="average" baseField="0" baseItem="0" numFmtId="10"/>
  </dataFields>
  <formats count="10">
    <format dxfId="19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20">
      <pivotArea outline="0" collapsedLevelsAreSubtotals="1" fieldPosition="0"/>
    </format>
    <format dxfId="21">
      <pivotArea dataOnly="0" labelOnly="1" outline="0" fieldPosition="0">
        <references count="1">
          <reference field="5" count="0"/>
        </references>
      </pivotArea>
    </format>
    <format dxfId="22">
      <pivotArea dataOnly="0" labelOnly="1" grandRow="1" outline="0" fieldPosition="0"/>
    </format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5" type="button" dataOnly="0" labelOnly="1" outline="0" axis="axisRow" fieldPosition="0"/>
    </format>
    <format dxfId="26">
      <pivotArea dataOnly="0" labelOnly="1" outline="0" fieldPosition="0">
        <references count="1">
          <reference field="5" count="0"/>
        </references>
      </pivotArea>
    </format>
    <format dxfId="27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6F350-2BC9-4E06-B488-D72F3AA0D437}" name="PivotTable4" cacheId="59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7:D11" firstHeaderRow="0" firstDataRow="1" firstDataCol="1"/>
  <pivotFields count="9">
    <pivotField compact="0" numFmtId="14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numFmtId="1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 numFmtId="164"/>
    <dataField name="Sum of Profit" fld="7" baseField="0" baseItem="0" numFmtId="164"/>
    <dataField name="Average of Profit Margin" fld="8" subtotal="average" baseField="0" baseItem="0" numFmtId="10"/>
  </dataFields>
  <formats count="19">
    <format dxfId="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field="1" type="button" dataOnly="0" labelOnly="1" outline="0" axis="axisRow" fieldPosition="0"/>
    </format>
    <format dxfId="4">
      <pivotArea dataOnly="0" labelOnly="1" outline="0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1" type="button" dataOnly="0" labelOnly="1" outline="0" axis="axisRow" fieldPosition="0"/>
    </format>
    <format dxfId="10">
      <pivotArea dataOnly="0" labelOnly="1" outline="0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1" type="button" dataOnly="0" labelOnly="1" outline="0" axis="axisRow" fieldPosition="0"/>
    </format>
    <format dxfId="16">
      <pivotArea dataOnly="0" labelOnly="1" outline="0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15" sqref="B15"/>
    </sheetView>
  </sheetViews>
  <sheetFormatPr defaultRowHeight="15"/>
  <cols>
    <col min="1" max="1" width="22.85546875" style="4" bestFit="1" customWidth="1"/>
    <col min="2" max="2" width="19.42578125" style="4" bestFit="1" customWidth="1"/>
    <col min="3" max="3" width="11.85546875" style="4" bestFit="1" customWidth="1"/>
    <col min="4" max="4" width="13.5703125" style="4" bestFit="1" customWidth="1"/>
    <col min="5" max="5" width="7.140625" style="4" bestFit="1" customWidth="1"/>
    <col min="6" max="6" width="16.42578125" style="4" bestFit="1" customWidth="1"/>
    <col min="7" max="7" width="9.140625" style="4" bestFit="1" customWidth="1"/>
    <col min="8" max="8" width="7.5703125" style="4" bestFit="1" customWidth="1"/>
    <col min="9" max="9" width="12.28515625" style="8" bestFit="1" customWidth="1"/>
    <col min="10" max="16384" width="9.140625" style="4"/>
  </cols>
  <sheetData>
    <row r="1" spans="1: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4" t="s">
        <v>7</v>
      </c>
      <c r="I1" s="13" t="s">
        <v>8</v>
      </c>
    </row>
    <row r="2" spans="1:9">
      <c r="A2" s="5">
        <v>45296</v>
      </c>
      <c r="B2" s="6" t="str">
        <f>TEXT(A2,"yyyy-mm")</f>
        <v>2024-01</v>
      </c>
      <c r="C2" s="7" t="s">
        <v>9</v>
      </c>
      <c r="D2" s="7" t="s">
        <v>10</v>
      </c>
      <c r="E2" s="7" t="s">
        <v>11</v>
      </c>
      <c r="F2" s="7" t="s">
        <v>12</v>
      </c>
      <c r="G2" s="19">
        <v>500</v>
      </c>
      <c r="H2" s="20">
        <v>50</v>
      </c>
      <c r="I2" s="11">
        <f>H2/G2</f>
        <v>0.1</v>
      </c>
    </row>
    <row r="3" spans="1:9">
      <c r="A3" s="5">
        <v>45309</v>
      </c>
      <c r="B3" s="6" t="str">
        <f t="shared" ref="B3:B11" si="0">TEXT(A3,"yyyy-mm")</f>
        <v>2024-01</v>
      </c>
      <c r="C3" s="7" t="s">
        <v>13</v>
      </c>
      <c r="D3" s="7" t="s">
        <v>14</v>
      </c>
      <c r="E3" s="7" t="s">
        <v>15</v>
      </c>
      <c r="F3" s="7" t="s">
        <v>16</v>
      </c>
      <c r="G3" s="19">
        <v>1200</v>
      </c>
      <c r="H3" s="20">
        <v>300</v>
      </c>
      <c r="I3" s="11">
        <f t="shared" ref="I3:I11" si="1">H3/G3</f>
        <v>0.25</v>
      </c>
    </row>
    <row r="4" spans="1:9">
      <c r="A4" s="5">
        <v>45316</v>
      </c>
      <c r="B4" s="6" t="str">
        <f t="shared" si="0"/>
        <v>2024-01</v>
      </c>
      <c r="C4" s="7" t="s">
        <v>17</v>
      </c>
      <c r="D4" s="7" t="s">
        <v>18</v>
      </c>
      <c r="E4" s="7" t="s">
        <v>19</v>
      </c>
      <c r="F4" s="7" t="s">
        <v>20</v>
      </c>
      <c r="G4" s="19">
        <v>200</v>
      </c>
      <c r="H4" s="20">
        <v>20</v>
      </c>
      <c r="I4" s="11">
        <f t="shared" si="1"/>
        <v>0.1</v>
      </c>
    </row>
    <row r="5" spans="1:9">
      <c r="A5" s="5">
        <v>45325</v>
      </c>
      <c r="B5" s="6" t="str">
        <f t="shared" si="0"/>
        <v>2024-02</v>
      </c>
      <c r="C5" s="7" t="s">
        <v>9</v>
      </c>
      <c r="D5" s="7" t="s">
        <v>10</v>
      </c>
      <c r="E5" s="7" t="s">
        <v>11</v>
      </c>
      <c r="F5" s="7" t="s">
        <v>16</v>
      </c>
      <c r="G5" s="19">
        <v>800</v>
      </c>
      <c r="H5" s="20">
        <v>200</v>
      </c>
      <c r="I5" s="11">
        <f t="shared" si="1"/>
        <v>0.25</v>
      </c>
    </row>
    <row r="6" spans="1:9">
      <c r="A6" s="5">
        <v>45336</v>
      </c>
      <c r="B6" s="6" t="str">
        <f t="shared" si="0"/>
        <v>2024-02</v>
      </c>
      <c r="C6" s="7" t="s">
        <v>21</v>
      </c>
      <c r="D6" s="7" t="s">
        <v>14</v>
      </c>
      <c r="E6" s="7" t="s">
        <v>22</v>
      </c>
      <c r="F6" s="7" t="s">
        <v>12</v>
      </c>
      <c r="G6" s="19">
        <v>700</v>
      </c>
      <c r="H6" s="20">
        <v>70</v>
      </c>
      <c r="I6" s="11">
        <f t="shared" si="1"/>
        <v>0.1</v>
      </c>
    </row>
    <row r="7" spans="1:9">
      <c r="A7" s="5">
        <v>45342</v>
      </c>
      <c r="B7" s="6" t="str">
        <f t="shared" si="0"/>
        <v>2024-02</v>
      </c>
      <c r="C7" s="7" t="s">
        <v>23</v>
      </c>
      <c r="D7" s="7" t="s">
        <v>10</v>
      </c>
      <c r="E7" s="7" t="s">
        <v>15</v>
      </c>
      <c r="F7" s="7" t="s">
        <v>20</v>
      </c>
      <c r="G7" s="19">
        <v>150</v>
      </c>
      <c r="H7" s="20">
        <v>10</v>
      </c>
      <c r="I7" s="11">
        <f t="shared" si="1"/>
        <v>6.6666666666666666E-2</v>
      </c>
    </row>
    <row r="8" spans="1:9">
      <c r="A8" s="5">
        <v>45353</v>
      </c>
      <c r="B8" s="6" t="str">
        <f t="shared" si="0"/>
        <v>2024-03</v>
      </c>
      <c r="C8" s="7" t="s">
        <v>13</v>
      </c>
      <c r="D8" s="7" t="s">
        <v>14</v>
      </c>
      <c r="E8" s="7" t="s">
        <v>15</v>
      </c>
      <c r="F8" s="7" t="s">
        <v>16</v>
      </c>
      <c r="G8" s="19">
        <v>1500</v>
      </c>
      <c r="H8" s="20">
        <v>350</v>
      </c>
      <c r="I8" s="11">
        <f t="shared" si="1"/>
        <v>0.23333333333333334</v>
      </c>
    </row>
    <row r="9" spans="1:9">
      <c r="A9" s="5">
        <v>45361</v>
      </c>
      <c r="B9" s="6" t="str">
        <f t="shared" si="0"/>
        <v>2024-03</v>
      </c>
      <c r="C9" s="7" t="s">
        <v>24</v>
      </c>
      <c r="D9" s="7" t="s">
        <v>18</v>
      </c>
      <c r="E9" s="7" t="s">
        <v>11</v>
      </c>
      <c r="F9" s="7" t="s">
        <v>12</v>
      </c>
      <c r="G9" s="19">
        <v>400</v>
      </c>
      <c r="H9" s="20">
        <v>30</v>
      </c>
      <c r="I9" s="11">
        <f t="shared" si="1"/>
        <v>7.4999999999999997E-2</v>
      </c>
    </row>
    <row r="10" spans="1:9">
      <c r="A10" s="5">
        <v>45369</v>
      </c>
      <c r="B10" s="6" t="str">
        <f t="shared" si="0"/>
        <v>2024-03</v>
      </c>
      <c r="C10" s="7" t="s">
        <v>17</v>
      </c>
      <c r="D10" s="7" t="s">
        <v>18</v>
      </c>
      <c r="E10" s="7" t="s">
        <v>19</v>
      </c>
      <c r="F10" s="7" t="s">
        <v>16</v>
      </c>
      <c r="G10" s="19">
        <v>600</v>
      </c>
      <c r="H10" s="20">
        <v>120</v>
      </c>
      <c r="I10" s="11">
        <f t="shared" si="1"/>
        <v>0.2</v>
      </c>
    </row>
    <row r="11" spans="1:9">
      <c r="A11" s="9">
        <v>45376</v>
      </c>
      <c r="B11" s="15" t="str">
        <f t="shared" si="0"/>
        <v>2024-03</v>
      </c>
      <c r="C11" s="10" t="s">
        <v>9</v>
      </c>
      <c r="D11" s="10" t="s">
        <v>10</v>
      </c>
      <c r="E11" s="10" t="s">
        <v>11</v>
      </c>
      <c r="F11" s="10" t="s">
        <v>20</v>
      </c>
      <c r="G11" s="21">
        <v>250</v>
      </c>
      <c r="H11" s="22">
        <v>25</v>
      </c>
      <c r="I11" s="12">
        <f t="shared" si="1"/>
        <v>0.1</v>
      </c>
    </row>
    <row r="13" spans="1:9">
      <c r="A13" s="18" t="s">
        <v>25</v>
      </c>
      <c r="B13" s="17">
        <f>SUM(G2:G11)</f>
        <v>6300</v>
      </c>
    </row>
    <row r="14" spans="1:9">
      <c r="A14" s="18" t="s">
        <v>26</v>
      </c>
      <c r="B14" s="17">
        <f>SUM(H2:H11)</f>
        <v>1175</v>
      </c>
    </row>
    <row r="15" spans="1:9">
      <c r="A15" s="18" t="s">
        <v>27</v>
      </c>
      <c r="B15" s="8">
        <f>B14/B13</f>
        <v>0.18650793650793651</v>
      </c>
    </row>
    <row r="16" spans="1:9">
      <c r="A16" s="18" t="s">
        <v>28</v>
      </c>
      <c r="B16" s="17">
        <f>AVERAGE(H2:H11)</f>
        <v>117.5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B321-69F6-45C0-8D8C-A916539B7A48}">
  <dimension ref="A3:D7"/>
  <sheetViews>
    <sheetView workbookViewId="0">
      <selection activeCell="B25" sqref="B25"/>
    </sheetView>
  </sheetViews>
  <sheetFormatPr defaultRowHeight="15"/>
  <cols>
    <col min="1" max="1" width="15.7109375" bestFit="1" customWidth="1"/>
    <col min="2" max="2" width="12.140625" bestFit="1" customWidth="1"/>
    <col min="3" max="3" width="12.5703125" bestFit="1" customWidth="1"/>
    <col min="4" max="4" width="22.85546875" bestFit="1" customWidth="1"/>
  </cols>
  <sheetData>
    <row r="3" spans="1:4">
      <c r="A3" s="1" t="s">
        <v>1</v>
      </c>
      <c r="B3" t="s">
        <v>29</v>
      </c>
      <c r="C3" t="s">
        <v>30</v>
      </c>
      <c r="D3" t="s">
        <v>31</v>
      </c>
    </row>
    <row r="4" spans="1:4">
      <c r="A4" t="s">
        <v>32</v>
      </c>
      <c r="B4" s="23">
        <v>1900</v>
      </c>
      <c r="C4" s="23">
        <v>370</v>
      </c>
      <c r="D4" s="16">
        <v>0.15</v>
      </c>
    </row>
    <row r="5" spans="1:4">
      <c r="A5" t="s">
        <v>33</v>
      </c>
      <c r="B5" s="23">
        <v>1650</v>
      </c>
      <c r="C5" s="23">
        <v>280</v>
      </c>
      <c r="D5" s="16">
        <v>0.13888888888888887</v>
      </c>
    </row>
    <row r="6" spans="1:4">
      <c r="A6" t="s">
        <v>34</v>
      </c>
      <c r="B6" s="23">
        <v>2750</v>
      </c>
      <c r="C6" s="23">
        <v>525</v>
      </c>
      <c r="D6" s="16">
        <v>0.15208333333333332</v>
      </c>
    </row>
    <row r="7" spans="1:4">
      <c r="A7" t="s">
        <v>35</v>
      </c>
      <c r="B7" s="23">
        <v>6300</v>
      </c>
      <c r="C7" s="23">
        <v>1175</v>
      </c>
      <c r="D7" s="16">
        <v>0.14749999999999999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1C3C-4577-40B5-94A7-806795061656}">
  <dimension ref="A3:D7"/>
  <sheetViews>
    <sheetView workbookViewId="0">
      <selection activeCell="A3" sqref="A3:D7"/>
    </sheetView>
  </sheetViews>
  <sheetFormatPr defaultRowHeight="15"/>
  <cols>
    <col min="1" max="1" width="19.42578125" bestFit="1" customWidth="1"/>
    <col min="2" max="2" width="12.140625" bestFit="1" customWidth="1"/>
    <col min="3" max="3" width="12.5703125" bestFit="1" customWidth="1"/>
    <col min="4" max="4" width="22.85546875" bestFit="1" customWidth="1"/>
  </cols>
  <sheetData>
    <row r="3" spans="1:4">
      <c r="A3" s="1" t="s">
        <v>5</v>
      </c>
      <c r="B3" t="s">
        <v>29</v>
      </c>
      <c r="C3" t="s">
        <v>30</v>
      </c>
      <c r="D3" t="s">
        <v>31</v>
      </c>
    </row>
    <row r="4" spans="1:4">
      <c r="A4" t="s">
        <v>12</v>
      </c>
      <c r="B4" s="23">
        <v>1600</v>
      </c>
      <c r="C4" s="23">
        <v>150</v>
      </c>
      <c r="D4" s="16">
        <v>9.1666666666666674E-2</v>
      </c>
    </row>
    <row r="5" spans="1:4">
      <c r="A5" t="s">
        <v>20</v>
      </c>
      <c r="B5" s="23">
        <v>600</v>
      </c>
      <c r="C5" s="23">
        <v>55</v>
      </c>
      <c r="D5" s="16">
        <v>8.8888888888888906E-2</v>
      </c>
    </row>
    <row r="6" spans="1:4">
      <c r="A6" t="s">
        <v>16</v>
      </c>
      <c r="B6" s="23">
        <v>4100</v>
      </c>
      <c r="C6" s="23">
        <v>970</v>
      </c>
      <c r="D6" s="16">
        <v>0.23333333333333334</v>
      </c>
    </row>
    <row r="7" spans="1:4">
      <c r="A7" t="s">
        <v>35</v>
      </c>
      <c r="B7" s="23">
        <v>6300</v>
      </c>
      <c r="C7" s="23">
        <v>1175</v>
      </c>
      <c r="D7" s="16">
        <v>0.14749999999999999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E6FE-8FE4-4853-A701-9C528F247E3A}">
  <dimension ref="A3:D7"/>
  <sheetViews>
    <sheetView workbookViewId="0">
      <selection activeCell="A3" sqref="A3:D7"/>
    </sheetView>
  </sheetViews>
  <sheetFormatPr defaultRowHeight="15"/>
  <cols>
    <col min="1" max="1" width="13.5703125" bestFit="1" customWidth="1"/>
    <col min="2" max="2" width="12.140625" bestFit="1" customWidth="1"/>
    <col min="3" max="3" width="12.5703125" bestFit="1" customWidth="1"/>
    <col min="4" max="4" width="22.85546875" bestFit="1" customWidth="1"/>
  </cols>
  <sheetData>
    <row r="3" spans="1:4">
      <c r="A3" s="1" t="s">
        <v>3</v>
      </c>
      <c r="B3" t="s">
        <v>29</v>
      </c>
      <c r="C3" t="s">
        <v>30</v>
      </c>
      <c r="D3" t="s">
        <v>31</v>
      </c>
    </row>
    <row r="4" spans="1:4">
      <c r="A4" t="s">
        <v>10</v>
      </c>
      <c r="B4" s="23">
        <v>1700</v>
      </c>
      <c r="C4" s="23">
        <v>285</v>
      </c>
      <c r="D4" s="16">
        <v>0.12916666666666665</v>
      </c>
    </row>
    <row r="5" spans="1:4">
      <c r="A5" t="s">
        <v>14</v>
      </c>
      <c r="B5" s="23">
        <v>3400</v>
      </c>
      <c r="C5" s="23">
        <v>720</v>
      </c>
      <c r="D5" s="16">
        <v>0.19444444444444442</v>
      </c>
    </row>
    <row r="6" spans="1:4">
      <c r="A6" t="s">
        <v>18</v>
      </c>
      <c r="B6" s="23">
        <v>1200</v>
      </c>
      <c r="C6" s="23">
        <v>170</v>
      </c>
      <c r="D6" s="16">
        <v>0.125</v>
      </c>
    </row>
    <row r="7" spans="1:4">
      <c r="A7" t="s">
        <v>35</v>
      </c>
      <c r="B7" s="23">
        <v>6300</v>
      </c>
      <c r="C7" s="23">
        <v>1175</v>
      </c>
      <c r="D7" s="16">
        <v>0.14749999999999999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70E8-F78A-4CBB-90CF-466C9A29380E}">
  <dimension ref="A3:E8"/>
  <sheetViews>
    <sheetView workbookViewId="0">
      <selection activeCell="A3" sqref="A3:E8"/>
    </sheetView>
  </sheetViews>
  <sheetFormatPr defaultRowHeight="15"/>
  <cols>
    <col min="1" max="1" width="15.7109375" bestFit="1" customWidth="1"/>
    <col min="2" max="2" width="19.42578125" bestFit="1" customWidth="1"/>
    <col min="3" max="3" width="14.140625" bestFit="1" customWidth="1"/>
    <col min="4" max="4" width="11" bestFit="1" customWidth="1"/>
    <col min="5" max="5" width="11.42578125" bestFit="1" customWidth="1"/>
  </cols>
  <sheetData>
    <row r="3" spans="1:5">
      <c r="A3" s="1" t="s">
        <v>29</v>
      </c>
      <c r="B3" s="1" t="s">
        <v>5</v>
      </c>
    </row>
    <row r="4" spans="1:5">
      <c r="A4" s="1" t="s">
        <v>1</v>
      </c>
      <c r="B4" t="s">
        <v>12</v>
      </c>
      <c r="C4" t="s">
        <v>20</v>
      </c>
      <c r="D4" t="s">
        <v>16</v>
      </c>
      <c r="E4" t="s">
        <v>35</v>
      </c>
    </row>
    <row r="5" spans="1:5">
      <c r="A5" t="s">
        <v>32</v>
      </c>
      <c r="B5" s="23">
        <v>500</v>
      </c>
      <c r="C5" s="23">
        <v>200</v>
      </c>
      <c r="D5" s="23">
        <v>1200</v>
      </c>
      <c r="E5" s="23">
        <v>1900</v>
      </c>
    </row>
    <row r="6" spans="1:5">
      <c r="A6" t="s">
        <v>33</v>
      </c>
      <c r="B6" s="23">
        <v>700</v>
      </c>
      <c r="C6" s="23">
        <v>150</v>
      </c>
      <c r="D6" s="23">
        <v>800</v>
      </c>
      <c r="E6" s="23">
        <v>1650</v>
      </c>
    </row>
    <row r="7" spans="1:5">
      <c r="A7" t="s">
        <v>34</v>
      </c>
      <c r="B7" s="23">
        <v>400</v>
      </c>
      <c r="C7" s="23">
        <v>250</v>
      </c>
      <c r="D7" s="23">
        <v>2100</v>
      </c>
      <c r="E7" s="23">
        <v>2750</v>
      </c>
    </row>
    <row r="8" spans="1:5">
      <c r="A8" t="s">
        <v>35</v>
      </c>
      <c r="B8" s="23">
        <v>1600</v>
      </c>
      <c r="C8" s="23">
        <v>600</v>
      </c>
      <c r="D8" s="23">
        <v>4100</v>
      </c>
      <c r="E8" s="23">
        <v>6300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75F2-7707-4D1B-9B83-F786AE781EA1}">
  <dimension ref="A1:E74"/>
  <sheetViews>
    <sheetView workbookViewId="0">
      <selection activeCell="D71" sqref="D71"/>
    </sheetView>
  </sheetViews>
  <sheetFormatPr defaultRowHeight="15"/>
  <cols>
    <col min="1" max="1" width="22.85546875" style="4" bestFit="1" customWidth="1"/>
    <col min="2" max="2" width="19.42578125" style="4" bestFit="1" customWidth="1"/>
    <col min="3" max="3" width="14.140625" style="4" bestFit="1" customWidth="1"/>
    <col min="4" max="4" width="22.85546875" style="4" bestFit="1" customWidth="1"/>
    <col min="5" max="5" width="11.42578125" style="4" bestFit="1" customWidth="1"/>
    <col min="6" max="8" width="9.140625" style="4"/>
    <col min="9" max="9" width="14.7109375" style="4" bestFit="1" customWidth="1"/>
    <col min="10" max="10" width="12.140625" style="4" bestFit="1" customWidth="1"/>
    <col min="11" max="11" width="12.5703125" style="4" bestFit="1" customWidth="1"/>
    <col min="12" max="12" width="22.85546875" style="4" bestFit="1" customWidth="1"/>
    <col min="13" max="16384" width="9.140625" style="4"/>
  </cols>
  <sheetData>
    <row r="1" spans="1:4">
      <c r="A1" s="25" t="s">
        <v>25</v>
      </c>
      <c r="B1" s="26">
        <f>Main!B13</f>
        <v>6300</v>
      </c>
    </row>
    <row r="2" spans="1:4">
      <c r="A2" s="25" t="s">
        <v>26</v>
      </c>
      <c r="B2" s="26">
        <f>Main!B14</f>
        <v>1175</v>
      </c>
    </row>
    <row r="3" spans="1:4">
      <c r="A3" s="25" t="s">
        <v>27</v>
      </c>
      <c r="B3" s="27">
        <f>Main!B15</f>
        <v>0.18650793650793651</v>
      </c>
    </row>
    <row r="4" spans="1:4">
      <c r="A4" s="25" t="s">
        <v>28</v>
      </c>
      <c r="B4" s="26">
        <f>Main!B16</f>
        <v>117.5</v>
      </c>
    </row>
    <row r="7" spans="1:4">
      <c r="A7" s="29" t="s">
        <v>1</v>
      </c>
      <c r="B7" s="29" t="s">
        <v>29</v>
      </c>
      <c r="C7" s="30" t="s">
        <v>30</v>
      </c>
      <c r="D7" s="30" t="s">
        <v>31</v>
      </c>
    </row>
    <row r="8" spans="1:4">
      <c r="A8" s="30" t="s">
        <v>32</v>
      </c>
      <c r="B8" s="26">
        <v>1900</v>
      </c>
      <c r="C8" s="26">
        <v>370</v>
      </c>
      <c r="D8" s="27">
        <v>0.15</v>
      </c>
    </row>
    <row r="9" spans="1:4">
      <c r="A9" s="30" t="s">
        <v>33</v>
      </c>
      <c r="B9" s="26">
        <v>1650</v>
      </c>
      <c r="C9" s="26">
        <v>280</v>
      </c>
      <c r="D9" s="27">
        <v>0.13888888888888887</v>
      </c>
    </row>
    <row r="10" spans="1:4">
      <c r="A10" s="30" t="s">
        <v>34</v>
      </c>
      <c r="B10" s="26">
        <v>2750</v>
      </c>
      <c r="C10" s="26">
        <v>525</v>
      </c>
      <c r="D10" s="27">
        <v>0.15208333333333332</v>
      </c>
    </row>
    <row r="11" spans="1:4">
      <c r="A11" s="30" t="s">
        <v>35</v>
      </c>
      <c r="B11" s="26">
        <v>6300</v>
      </c>
      <c r="C11" s="26">
        <v>1175</v>
      </c>
      <c r="D11" s="27">
        <v>0.14749999999999999</v>
      </c>
    </row>
    <row r="27" spans="1:4">
      <c r="A27" s="28" t="s">
        <v>5</v>
      </c>
      <c r="B27" s="28" t="s">
        <v>29</v>
      </c>
      <c r="C27" s="4" t="s">
        <v>30</v>
      </c>
      <c r="D27" s="4" t="s">
        <v>31</v>
      </c>
    </row>
    <row r="28" spans="1:4">
      <c r="A28" s="30" t="s">
        <v>12</v>
      </c>
      <c r="B28" s="26">
        <v>1600</v>
      </c>
      <c r="C28" s="26">
        <v>150</v>
      </c>
      <c r="D28" s="27">
        <v>9.1666666666666674E-2</v>
      </c>
    </row>
    <row r="29" spans="1:4">
      <c r="A29" s="30" t="s">
        <v>20</v>
      </c>
      <c r="B29" s="26">
        <v>600</v>
      </c>
      <c r="C29" s="26">
        <v>55</v>
      </c>
      <c r="D29" s="27">
        <v>8.8888888888888906E-2</v>
      </c>
    </row>
    <row r="30" spans="1:4">
      <c r="A30" s="30" t="s">
        <v>16</v>
      </c>
      <c r="B30" s="26">
        <v>4100</v>
      </c>
      <c r="C30" s="26">
        <v>970</v>
      </c>
      <c r="D30" s="27">
        <v>0.23333333333333334</v>
      </c>
    </row>
    <row r="31" spans="1:4">
      <c r="A31" s="30" t="s">
        <v>35</v>
      </c>
      <c r="B31" s="26">
        <v>6300</v>
      </c>
      <c r="C31" s="26">
        <v>1175</v>
      </c>
      <c r="D31" s="27">
        <v>0.14749999999999999</v>
      </c>
    </row>
    <row r="47" spans="1:4">
      <c r="A47" s="28" t="s">
        <v>3</v>
      </c>
      <c r="B47" s="28" t="s">
        <v>29</v>
      </c>
      <c r="C47" s="4" t="s">
        <v>30</v>
      </c>
      <c r="D47" s="4" t="s">
        <v>31</v>
      </c>
    </row>
    <row r="48" spans="1:4">
      <c r="A48" s="30" t="s">
        <v>10</v>
      </c>
      <c r="B48" s="26">
        <v>1700</v>
      </c>
      <c r="C48" s="26">
        <v>285</v>
      </c>
      <c r="D48" s="27">
        <v>0.12916666666666665</v>
      </c>
    </row>
    <row r="49" spans="1:4">
      <c r="A49" s="30" t="s">
        <v>14</v>
      </c>
      <c r="B49" s="26">
        <v>3400</v>
      </c>
      <c r="C49" s="26">
        <v>720</v>
      </c>
      <c r="D49" s="27">
        <v>0.19444444444444442</v>
      </c>
    </row>
    <row r="50" spans="1:4">
      <c r="A50" s="31" t="s">
        <v>18</v>
      </c>
      <c r="B50" s="32">
        <v>1200</v>
      </c>
      <c r="C50" s="32">
        <v>170</v>
      </c>
      <c r="D50" s="33">
        <v>0.125</v>
      </c>
    </row>
    <row r="51" spans="1:4">
      <c r="A51" s="30" t="s">
        <v>35</v>
      </c>
      <c r="B51" s="26">
        <v>6300</v>
      </c>
      <c r="C51" s="26">
        <v>1175</v>
      </c>
      <c r="D51" s="27">
        <v>0.14749999999999999</v>
      </c>
    </row>
    <row r="69" spans="1:5">
      <c r="A69" s="28" t="s">
        <v>29</v>
      </c>
      <c r="B69" s="28" t="s">
        <v>5</v>
      </c>
    </row>
    <row r="70" spans="1:5">
      <c r="A70" s="28" t="s">
        <v>1</v>
      </c>
      <c r="B70" s="4" t="s">
        <v>12</v>
      </c>
      <c r="C70" s="4" t="s">
        <v>20</v>
      </c>
      <c r="D70" s="4" t="s">
        <v>16</v>
      </c>
      <c r="E70" s="4" t="s">
        <v>35</v>
      </c>
    </row>
    <row r="71" spans="1:5">
      <c r="A71" s="30" t="s">
        <v>32</v>
      </c>
      <c r="B71" s="26">
        <v>500</v>
      </c>
      <c r="C71" s="26">
        <v>200</v>
      </c>
      <c r="D71" s="26">
        <v>1200</v>
      </c>
      <c r="E71" s="26">
        <v>1900</v>
      </c>
    </row>
    <row r="72" spans="1:5">
      <c r="A72" s="30" t="s">
        <v>33</v>
      </c>
      <c r="B72" s="26">
        <v>700</v>
      </c>
      <c r="C72" s="26">
        <v>150</v>
      </c>
      <c r="D72" s="26">
        <v>800</v>
      </c>
      <c r="E72" s="26">
        <v>1650</v>
      </c>
    </row>
    <row r="73" spans="1:5">
      <c r="A73" s="30" t="s">
        <v>34</v>
      </c>
      <c r="B73" s="26">
        <v>400</v>
      </c>
      <c r="C73" s="26">
        <v>250</v>
      </c>
      <c r="D73" s="26">
        <v>2100</v>
      </c>
      <c r="E73" s="26">
        <v>2750</v>
      </c>
    </row>
    <row r="74" spans="1:5">
      <c r="A74" s="30" t="s">
        <v>35</v>
      </c>
      <c r="B74" s="26">
        <v>1600</v>
      </c>
      <c r="C74" s="26">
        <v>600</v>
      </c>
      <c r="D74" s="26">
        <v>4100</v>
      </c>
      <c r="E74" s="26">
        <v>6300</v>
      </c>
    </row>
  </sheetData>
  <pageMargins left="0.7" right="0.7" top="0.75" bottom="0.75" header="0.3" footer="0.3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C89A-525E-4396-AE80-8EA9D3036132}">
  <dimension ref="A1:A2"/>
  <sheetViews>
    <sheetView workbookViewId="0">
      <selection activeCell="A3" sqref="A3"/>
    </sheetView>
  </sheetViews>
  <sheetFormatPr defaultRowHeight="15"/>
  <cols>
    <col min="1" max="1" width="166.42578125" bestFit="1" customWidth="1"/>
  </cols>
  <sheetData>
    <row r="1" spans="1:1">
      <c r="A1" s="24" t="s">
        <v>36</v>
      </c>
    </row>
    <row r="2" spans="1:1" ht="30.75">
      <c r="A2" s="3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2026-01-18T22:52:27Z</dcterms:created>
  <dcterms:modified xsi:type="dcterms:W3CDTF">2026-01-20T15:42:12Z</dcterms:modified>
  <cp:category/>
  <cp:contentStatus/>
</cp:coreProperties>
</file>